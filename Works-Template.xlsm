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iha_000\SkyDrive\RApplications\Works\"/>
    </mc:Choice>
  </mc:AlternateContent>
  <bookViews>
    <workbookView xWindow="0" yWindow="0" windowWidth="20490" windowHeight="7755" activeTab="1"/>
  </bookViews>
  <sheets>
    <sheet name="Leads" sheetId="2" r:id="rId1"/>
    <sheet name="Discussions" sheetId="1" r:id="rId2"/>
    <sheet name="ScheduledEvents" sheetId="3" r:id="rId3"/>
  </sheets>
  <functionGroups builtInGroupCount="18"/>
  <definedNames>
    <definedName name="blank">"DiscussionResults"</definedName>
    <definedName name="Initiative">Table1[Initiative]</definedName>
    <definedName name="Leads">Table2[Initiative]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E2" i="1"/>
  <c r="D3" i="1"/>
  <c r="C2" i="1"/>
  <c r="C3" i="1"/>
  <c r="D2" i="1"/>
  <c r="E3" i="1"/>
  <c r="B2" i="1"/>
</calcChain>
</file>

<file path=xl/sharedStrings.xml><?xml version="1.0" encoding="utf-8"?>
<sst xmlns="http://schemas.openxmlformats.org/spreadsheetml/2006/main" count="59" uniqueCount="46">
  <si>
    <t>Initiative</t>
  </si>
  <si>
    <t>Status of work</t>
  </si>
  <si>
    <t>Date</t>
  </si>
  <si>
    <t>Notes</t>
  </si>
  <si>
    <t>Division</t>
  </si>
  <si>
    <t>Coordinating with</t>
  </si>
  <si>
    <t>Site</t>
  </si>
  <si>
    <t>GS-I</t>
  </si>
  <si>
    <t>Contact Details</t>
  </si>
  <si>
    <t>Email ID</t>
  </si>
  <si>
    <t>+447017041931 </t>
  </si>
  <si>
    <t>teoba@mit.tc</t>
  </si>
  <si>
    <t>magicbricks.com</t>
  </si>
  <si>
    <t>Discussion</t>
  </si>
  <si>
    <t>Tags</t>
  </si>
  <si>
    <t>40-60</t>
  </si>
  <si>
    <t>Discussion results</t>
  </si>
  <si>
    <t>Number</t>
  </si>
  <si>
    <t>Date Contacted</t>
  </si>
  <si>
    <t>Enquiry</t>
  </si>
  <si>
    <t>Sachin</t>
  </si>
  <si>
    <t>ABC</t>
  </si>
  <si>
    <t>DEF</t>
  </si>
  <si>
    <t>HIJ</t>
  </si>
  <si>
    <t>hello FM</t>
  </si>
  <si>
    <t>Phone call</t>
  </si>
  <si>
    <t>chetanbg@gq.com</t>
  </si>
  <si>
    <t>somespammer@smarty.com</t>
  </si>
  <si>
    <t>Keen to buy</t>
  </si>
  <si>
    <t>Good</t>
  </si>
  <si>
    <t>Email sent</t>
  </si>
  <si>
    <t>coimbatore;small;69-80</t>
  </si>
  <si>
    <t>Ms. X</t>
  </si>
  <si>
    <t>Ok</t>
  </si>
  <si>
    <t>Subject</t>
  </si>
  <si>
    <t>Location</t>
  </si>
  <si>
    <t>Start_Date</t>
  </si>
  <si>
    <t>Reminder</t>
  </si>
  <si>
    <t>Duration</t>
  </si>
  <si>
    <t>Done</t>
  </si>
  <si>
    <t>Office</t>
  </si>
  <si>
    <t>1 day</t>
  </si>
  <si>
    <t>Start_Time</t>
  </si>
  <si>
    <t>Description</t>
  </si>
  <si>
    <t>Exported?</t>
  </si>
  <si>
    <t>testing it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</si>
</sst>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2" fillId="2" borderId="0" xfId="0" applyFont="1" applyFill="1" applyBorder="1"/>
    <xf numFmtId="0" fontId="4" fillId="2" borderId="0" xfId="0" applyFont="1" applyFill="1"/>
    <xf numFmtId="0" fontId="3" fillId="0" borderId="0" xfId="0" applyFont="1"/>
    <xf numFmtId="0" fontId="4" fillId="2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15" fontId="0" fillId="0" borderId="1" xfId="0" applyNumberFormat="1" applyBorder="1"/>
    <xf numFmtId="0" fontId="0" fillId="0" borderId="0" xfId="0" applyFont="1" applyBorder="1"/>
    <xf numFmtId="15" fontId="0" fillId="0" borderId="0" xfId="0" applyNumberFormat="1" applyBorder="1"/>
    <xf numFmtId="49" fontId="0" fillId="0" borderId="0" xfId="0" applyNumberFormat="1" applyFont="1" applyBorder="1"/>
    <xf numFmtId="49" fontId="1" fillId="0" borderId="0" xfId="1" applyNumberFormat="1" applyFont="1" applyBorder="1"/>
    <xf numFmtId="0" fontId="0" fillId="0" borderId="0" xfId="0" applyBorder="1"/>
    <xf numFmtId="0" fontId="0" fillId="0" borderId="2" xfId="0" applyBorder="1"/>
    <xf numFmtId="0" fontId="0" fillId="0" borderId="2" xfId="0" applyNumberFormat="1" applyBorder="1"/>
    <xf numFmtId="49" fontId="0" fillId="0" borderId="2" xfId="0" applyNumberFormat="1" applyBorder="1"/>
    <xf numFmtId="15" fontId="0" fillId="0" borderId="2" xfId="0" applyNumberFormat="1" applyBorder="1"/>
    <xf numFmtId="49" fontId="1" fillId="0" borderId="0" xfId="1" applyNumberFormat="1" applyBorder="1"/>
    <xf numFmtId="0" fontId="0" fillId="0" borderId="0" xfId="0" applyFill="1"/>
    <xf numFmtId="15" fontId="0" fillId="0" borderId="0" xfId="0" applyNumberFormat="1" applyFill="1"/>
    <xf numFmtId="18" fontId="0" fillId="0" borderId="0" xfId="0" applyNumberFormat="1" applyFill="1"/>
    <xf numFmtId="22" fontId="0" fillId="0" borderId="0" xfId="0" applyNumberFormat="1" applyFill="1"/>
    <xf numFmtId="0" fontId="0" fillId="0" borderId="2" xfId="0" applyFont="1" applyBorder="1"/>
  </cellXfs>
  <cellStyles count="2">
    <cellStyle name="Hyperlink" xfId="1" builtinId="8"/>
    <cellStyle name="Normal" xfId="0" builtinId="0"/>
  </cellStyles>
  <dxfs count="45"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0" formatCode="dd/mmm/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0" formatCode="dd/m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d/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left style="thin">
          <color theme="1"/>
        </lef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2" displayName="Table2" ref="A2:I5" totalsRowShown="0" headerRowDxfId="42" dataDxfId="41" tableBorderDxfId="40">
  <autoFilter ref="A2:I5"/>
  <tableColumns count="9">
    <tableColumn id="6" name="Number" dataDxfId="39" totalsRowDxfId="38"/>
    <tableColumn id="1" name="Initiative" dataDxfId="37" totalsRowDxfId="36"/>
    <tableColumn id="7" name="Date Contacted" dataDxfId="35" totalsRowDxfId="34"/>
    <tableColumn id="2" name="Division" dataDxfId="33" totalsRowDxfId="32"/>
    <tableColumn id="3" name="Site" dataDxfId="31" totalsRowDxfId="30"/>
    <tableColumn id="4" name="Contact Details" dataDxfId="29" totalsRowDxfId="28"/>
    <tableColumn id="5" name="Email ID" dataDxfId="27" totalsRowDxfId="26" dataCellStyle="Hyperlink"/>
    <tableColumn id="10" name="Tags" dataDxfId="25" totalsRowDxfId="24" dataCellStyle="Hyperlink"/>
    <tableColumn id="8" name="Enquiry" dataDxfId="23" totalsRowDxfId="2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K3" totalsRowShown="0">
  <autoFilter ref="A1:K3"/>
  <sortState ref="A2:K54">
    <sortCondition ref="F1:F54"/>
  </sortState>
  <tableColumns count="11">
    <tableColumn id="1" name="Initiative" dataDxfId="21" totalsRowDxfId="20"/>
    <tableColumn id="5" name="Division" dataDxfId="19" totalsRowDxfId="18">
      <calculatedColumnFormula>ZeroToBlank(INDEX(Table2[Division],MATCH(Table1[[#This Row],[Initiative]],Table2[Initiative],0)))</calculatedColumnFormula>
    </tableColumn>
    <tableColumn id="6" name="Site" dataDxfId="17" totalsRowDxfId="16">
      <calculatedColumnFormula>ZeroToBlank(INDEX(Table2[Site],MATCH(Table1[[#This Row],[Initiative]],Table2[Initiative],0)))</calculatedColumnFormula>
    </tableColumn>
    <tableColumn id="8" name="Contact Details" dataDxfId="15" totalsRowDxfId="14">
      <calculatedColumnFormula>ZeroToBlank(INDEX(Table2[Contact Details],MATCH(Table1[[#This Row],[Initiative]],Table2[Initiative],0)))</calculatedColumnFormula>
    </tableColumn>
    <tableColumn id="9" name="Email ID" dataDxfId="13" totalsRowDxfId="12">
      <calculatedColumnFormula>ZeroToBlank(INDEX(Table2[Email ID],MATCH(Table1[[#This Row],[Initiative]],Table2[Initiative],0)))</calculatedColumnFormula>
    </tableColumn>
    <tableColumn id="2" name="Status of work" dataDxfId="11" totalsRowDxfId="10"/>
    <tableColumn id="3" name="Date" dataDxfId="9" totalsRowDxfId="8"/>
    <tableColumn id="4" name="Notes" dataDxfId="7" totalsRowDxfId="6"/>
    <tableColumn id="11" name="Tags" dataDxfId="5" totalsRowDxfId="4"/>
    <tableColumn id="7" name="Coordinating with" dataDxfId="3" totalsRowDxfId="2"/>
    <tableColumn id="10" name="Discussion results" dataDxfId="1" totalsRow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eoba@mit.tc" TargetMode="External"/><Relationship Id="rId2" Type="http://schemas.openxmlformats.org/officeDocument/2006/relationships/hyperlink" Target="mailto:somespammer@smarty.com" TargetMode="External"/><Relationship Id="rId1" Type="http://schemas.openxmlformats.org/officeDocument/2006/relationships/hyperlink" Target="mailto:chetanbg@gq.com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5"/>
  <sheetViews>
    <sheetView workbookViewId="0">
      <selection activeCell="A5" sqref="A5"/>
    </sheetView>
  </sheetViews>
  <sheetFormatPr defaultRowHeight="15" x14ac:dyDescent="0.25"/>
  <cols>
    <col min="1" max="1" width="10.5703125" style="6" bestFit="1" customWidth="1"/>
    <col min="2" max="2" width="30.42578125" bestFit="1" customWidth="1"/>
    <col min="3" max="3" width="10.42578125" bestFit="1" customWidth="1"/>
    <col min="4" max="4" width="17.42578125" bestFit="1" customWidth="1"/>
    <col min="5" max="5" width="25" bestFit="1" customWidth="1"/>
    <col min="6" max="6" width="25" customWidth="1"/>
    <col min="7" max="7" width="34" bestFit="1" customWidth="1"/>
    <col min="8" max="8" width="12.28515625" bestFit="1" customWidth="1"/>
    <col min="9" max="9" width="194.140625" bestFit="1" customWidth="1"/>
  </cols>
  <sheetData>
    <row r="2" spans="1:9" x14ac:dyDescent="0.25">
      <c r="A2" s="4" t="s">
        <v>17</v>
      </c>
      <c r="B2" s="1" t="s">
        <v>0</v>
      </c>
      <c r="C2" t="s">
        <v>18</v>
      </c>
      <c r="D2" s="1" t="s">
        <v>4</v>
      </c>
      <c r="E2" s="1" t="s">
        <v>6</v>
      </c>
      <c r="F2" s="1" t="s">
        <v>8</v>
      </c>
      <c r="G2" s="1" t="s">
        <v>9</v>
      </c>
      <c r="H2" s="2" t="s">
        <v>14</v>
      </c>
      <c r="I2" s="2" t="s">
        <v>19</v>
      </c>
    </row>
    <row r="3" spans="1:9" x14ac:dyDescent="0.25">
      <c r="A3" s="5">
        <v>1</v>
      </c>
      <c r="B3" s="9" t="s">
        <v>21</v>
      </c>
      <c r="C3" s="10">
        <v>41993</v>
      </c>
      <c r="D3" s="9" t="s">
        <v>7</v>
      </c>
      <c r="E3" s="9" t="s">
        <v>25</v>
      </c>
      <c r="F3" s="11" t="s">
        <v>10</v>
      </c>
      <c r="G3" s="18" t="s">
        <v>26</v>
      </c>
      <c r="H3" s="3"/>
      <c r="I3" s="13"/>
    </row>
    <row r="4" spans="1:9" x14ac:dyDescent="0.25">
      <c r="A4" s="5">
        <v>2</v>
      </c>
      <c r="B4" s="9" t="s">
        <v>22</v>
      </c>
      <c r="C4" s="10">
        <v>41993</v>
      </c>
      <c r="D4" s="9" t="s">
        <v>7</v>
      </c>
      <c r="E4" s="9" t="s">
        <v>24</v>
      </c>
      <c r="F4" s="11" t="s">
        <v>10</v>
      </c>
      <c r="G4" s="18" t="s">
        <v>27</v>
      </c>
      <c r="H4" s="3"/>
      <c r="I4" s="13"/>
    </row>
    <row r="5" spans="1:9" x14ac:dyDescent="0.25">
      <c r="A5" s="5">
        <v>3</v>
      </c>
      <c r="B5" s="9" t="s">
        <v>23</v>
      </c>
      <c r="C5" s="10">
        <v>41993</v>
      </c>
      <c r="D5" s="9" t="s">
        <v>7</v>
      </c>
      <c r="E5" s="9" t="s">
        <v>12</v>
      </c>
      <c r="F5" s="11" t="s">
        <v>10</v>
      </c>
      <c r="G5" s="12" t="s">
        <v>11</v>
      </c>
      <c r="H5" s="3"/>
      <c r="I5" s="13"/>
    </row>
  </sheetData>
  <conditionalFormatting sqref="B3:B5">
    <cfRule type="duplicateValues" dxfId="44" priority="45"/>
    <cfRule type="expression" dxfId="43" priority="46">
      <formula>OR(NOT(ISNA(INDEX(Initiative,MATCH(B3,Initiative,0)))))=FALSE</formula>
    </cfRule>
  </conditionalFormatting>
  <hyperlinks>
    <hyperlink ref="G3" r:id="rId1"/>
    <hyperlink ref="G4" r:id="rId2"/>
    <hyperlink ref="G5" r:id="rId3"/>
  </hyperlinks>
  <pageMargins left="0.7" right="0.7" top="0.75" bottom="0.75" header="0.3" footer="0.3"/>
  <pageSetup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"/>
  <sheetViews>
    <sheetView tabSelected="1" workbookViewId="0">
      <selection activeCell="E7" sqref="E7"/>
    </sheetView>
  </sheetViews>
  <sheetFormatPr defaultRowHeight="15" x14ac:dyDescent="0.25"/>
  <cols>
    <col min="1" max="1" width="25.5703125" bestFit="1" customWidth="1"/>
    <col min="2" max="4" width="18.42578125" customWidth="1"/>
    <col min="5" max="5" width="41.85546875" bestFit="1" customWidth="1"/>
    <col min="6" max="6" width="15.7109375" customWidth="1"/>
    <col min="7" max="7" width="9.7109375" bestFit="1" customWidth="1"/>
    <col min="8" max="8" width="31" customWidth="1"/>
    <col min="9" max="9" width="20.5703125" bestFit="1" customWidth="1"/>
    <col min="10" max="10" width="22.28515625" customWidth="1"/>
    <col min="11" max="11" width="19.42578125" bestFit="1" customWidth="1"/>
  </cols>
  <sheetData>
    <row r="1" spans="1:11" x14ac:dyDescent="0.25">
      <c r="A1" t="s">
        <v>0</v>
      </c>
      <c r="B1" t="s">
        <v>4</v>
      </c>
      <c r="C1" t="s">
        <v>6</v>
      </c>
      <c r="D1" t="s">
        <v>8</v>
      </c>
      <c r="E1" t="s">
        <v>9</v>
      </c>
      <c r="F1" t="s">
        <v>1</v>
      </c>
      <c r="G1" t="s">
        <v>2</v>
      </c>
      <c r="H1" t="s">
        <v>3</v>
      </c>
      <c r="I1" t="s">
        <v>14</v>
      </c>
      <c r="J1" t="s">
        <v>5</v>
      </c>
      <c r="K1" t="s">
        <v>16</v>
      </c>
    </row>
    <row r="2" spans="1:11" x14ac:dyDescent="0.25">
      <c r="A2" s="7" t="s">
        <v>23</v>
      </c>
      <c r="B2" s="7" t="str">
        <f>ZeroToBlank(INDEX(Table2[Division],MATCH(Table1[[#This Row],[Initiative]],Table2[Initiative],0)))</f>
        <v>GS-I</v>
      </c>
      <c r="C2" s="7" t="str">
        <f>ZeroToBlank(INDEX(Table2[Site],MATCH(Table1[[#This Row],[Initiative]],Table2[Initiative],0)))</f>
        <v>magicbricks.com</v>
      </c>
      <c r="D2" s="7" t="str">
        <f>ZeroToBlank(INDEX(Table2[Contact Details],MATCH(Table1[[#This Row],[Initiative]],Table2[Initiative],0)))</f>
        <v>+447017041931 </v>
      </c>
      <c r="E2" s="7" t="str">
        <f>ZeroToBlank(INDEX(Table2[Email ID],MATCH(Table1[[#This Row],[Initiative]],Table2[Initiative],0)))</f>
        <v>teoba@mit.tc</v>
      </c>
      <c r="F2" s="7" t="s">
        <v>13</v>
      </c>
      <c r="G2" s="8">
        <v>41501</v>
      </c>
      <c r="H2" s="7" t="s">
        <v>28</v>
      </c>
      <c r="I2" s="7" t="s">
        <v>15</v>
      </c>
      <c r="J2" s="7" t="s">
        <v>20</v>
      </c>
      <c r="K2" s="7" t="s">
        <v>29</v>
      </c>
    </row>
    <row r="3" spans="1:11" x14ac:dyDescent="0.25">
      <c r="A3" s="23" t="s">
        <v>21</v>
      </c>
      <c r="B3" s="14" t="str">
        <f>ZeroToBlank(INDEX(Table2[Division],MATCH(Table1[[#This Row],[Initiative]],Table2[Initiative],0)))</f>
        <v>GS-I</v>
      </c>
      <c r="C3" s="15" t="str">
        <f>ZeroToBlank(INDEX(Table2[Site],MATCH(Table1[[#This Row],[Initiative]],Table2[Initiative],0)))</f>
        <v>Phone call</v>
      </c>
      <c r="D3" s="16" t="str">
        <f>ZeroToBlank(INDEX(Table2[Contact Details],MATCH(Table1[[#This Row],[Initiative]],Table2[Initiative],0)))</f>
        <v>+447017041931 </v>
      </c>
      <c r="E3" s="15" t="str">
        <f>ZeroToBlank(INDEX(Table2[Email ID],MATCH(Table1[[#This Row],[Initiative]],Table2[Initiative],0)))</f>
        <v>chetanbg@gq.com</v>
      </c>
      <c r="F3" s="14" t="s">
        <v>30</v>
      </c>
      <c r="G3" s="17">
        <v>42021</v>
      </c>
      <c r="H3" s="14"/>
      <c r="I3" s="14" t="s">
        <v>31</v>
      </c>
      <c r="J3" s="14" t="s">
        <v>32</v>
      </c>
      <c r="K3" s="14" t="s">
        <v>33</v>
      </c>
    </row>
  </sheetData>
  <dataValidations count="1">
    <dataValidation type="list" allowBlank="1" showInputMessage="1" showErrorMessage="1" sqref="A2:A3">
      <formula1>Leads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workbookViewId="0">
      <selection activeCell="E7" sqref="E7"/>
    </sheetView>
  </sheetViews>
  <sheetFormatPr defaultRowHeight="15" x14ac:dyDescent="0.25"/>
  <cols>
    <col min="4" max="5" width="9.7109375" bestFit="1" customWidth="1"/>
  </cols>
  <sheetData>
    <row r="1" spans="1:9" x14ac:dyDescent="0.25">
      <c r="A1" s="19" t="s">
        <v>34</v>
      </c>
      <c r="B1" s="19" t="s">
        <v>35</v>
      </c>
      <c r="C1" s="19" t="s">
        <v>43</v>
      </c>
      <c r="D1" s="19" t="s">
        <v>36</v>
      </c>
      <c r="E1" s="19" t="s">
        <v>42</v>
      </c>
      <c r="F1" s="19" t="s">
        <v>38</v>
      </c>
      <c r="G1" s="19" t="s">
        <v>37</v>
      </c>
      <c r="H1" s="19" t="s">
        <v>44</v>
      </c>
      <c r="I1" s="19"/>
    </row>
    <row r="2" spans="1:9" x14ac:dyDescent="0.25">
      <c r="A2" s="19" t="s">
        <v>21</v>
      </c>
      <c r="B2" s="22" t="s">
        <v>40</v>
      </c>
      <c r="C2" s="19" t="s">
        <v>45</v>
      </c>
      <c r="D2" s="20">
        <v>42051</v>
      </c>
      <c r="E2" s="21">
        <v>0.66666666666666663</v>
      </c>
      <c r="F2" s="19">
        <v>60</v>
      </c>
      <c r="G2" s="19" t="s">
        <v>41</v>
      </c>
      <c r="H2" s="19" t="s">
        <v>39</v>
      </c>
      <c r="I2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Leads</vt:lpstr>
      <vt:lpstr>Discussions</vt:lpstr>
      <vt:lpstr>ScheduledEvents</vt:lpstr>
      <vt:lpstr>Initiative</vt:lpstr>
      <vt:lpstr>Leads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Sunnyside</dc:creator>
  <cp:lastModifiedBy>Arihant Associates</cp:lastModifiedBy>
  <dcterms:created xsi:type="dcterms:W3CDTF">2015-01-04T03:11:45Z</dcterms:created>
  <dcterms:modified xsi:type="dcterms:W3CDTF">2015-02-18T05:52:08Z</dcterms:modified>
</cp:coreProperties>
</file>